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20944a83f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oría" sheetId="1" r:id="R7efec14f8ac847ee"/>
    <x:sheet xmlns:r="http://schemas.openxmlformats.org/officeDocument/2006/relationships" name="NAP y criterios" sheetId="2" r:id="Rfe10f570544146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3">
    <x:font>
      <x:sz val="11"/>
      <x:name val="Carlito"/>
    </x:font>
    <x:font>
      <x:sz val="10"/>
      <x:color rgb="FF1C2933"/>
      <x:name val="Arial"/>
    </x:font>
    <x:font>
      <x:b/>
      <x:sz val="15"/>
      <x:color rgb="FF163B55"/>
      <x:name val="Arial"/>
    </x:font>
    <x:font>
      <x:i/>
      <x:sz val="10"/>
      <x:color rgb="FF547083"/>
      <x:name val="Arial"/>
    </x:font>
    <x:font>
      <x:b/>
      <x:sz val="13"/>
      <x:color rgb="FF163B55"/>
      <x:name val="Arial"/>
    </x:font>
    <x:font>
      <x:i/>
      <x:sz val="9"/>
      <x:color rgb="FFA05B25"/>
      <x:name val="Arial"/>
    </x:font>
    <x:font>
      <x:b/>
      <x:sz val="10"/>
      <x:color rgb="FFFFFFFF"/>
      <x:name val="Arial"/>
    </x:font>
    <x:font>
      <x:sz val="9"/>
      <x:color rgb="FF195A87"/>
      <x:name val="Arial"/>
    </x:font>
    <x:font>
      <x:sz val="9"/>
      <x:color rgb="FF1C2933"/>
      <x:name val="Arial"/>
    </x:font>
    <x:font>
      <x:sz val="9"/>
      <x:color rgb="FF54616A"/>
      <x:name val="Arial"/>
    </x:font>
    <x:font>
      <x:sz val="11"/>
      <x:color rgb="FF1C2933"/>
      <x:name val="Arial"/>
    </x:font>
    <x:font>
      <x:b/>
      <x:sz val="11"/>
      <x:color rgb="FF163B55"/>
      <x:name val="Arial"/>
    </x:font>
    <x:font>
      <x:b/>
      <x:sz val="12"/>
      <x:color rgb="FF163B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2F7FA"/>
      </x:patternFill>
    </x:fill>
    <x:fill>
      <x:patternFill patternType="solid">
        <x:fgColor rgb="FF27506A"/>
      </x:patternFill>
    </x:fill>
    <x:fill>
      <x:patternFill patternType="solid">
        <x:fgColor rgb="FFFFF4D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CE5EC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2" fillId="0" borderId="0" xfId="0" applyNumberFormat="1" applyFont="1" applyFill="1" applyBorder="1"/>
    <x:xf numFmtId="0" fontId="10" fillId="3" borderId="0" xfId="0" applyNumberFormat="1" applyFont="1" applyFill="1" applyBorder="1"/>
    <x:xf numFmtId="0" fontId="6" fillId="3" borderId="0" xfId="0" applyNumberFormat="1" applyFont="1" applyFill="1" applyBorder="1"/>
    <x:xf numFmtId="0" fontId="10" fillId="2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A33324"/>
      </x:font>
      <x:fill>
        <x:patternFill patternType="solid">
          <x:bgColor rgb="FFFFE2DA"/>
        </x:patternFill>
      </x:fill>
    </x:dxf>
    <x:dxf>
      <x:font>
        <x:color rgb="FF94631A"/>
      </x:font>
      <x:fill>
        <x:patternFill patternType="solid">
          <x:bgColor rgb="FFFFF4D8"/>
        </x:patternFill>
      </x:fill>
    </x:dxf>
    <x:dxf>
      <x:font>
        <x:b/>
        <x:color rgb="FFA33324"/>
      </x:font>
      <x:fill>
        <x:patternFill patternType="solid">
          <x:bgColor rgb="FFFFE2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0ac584f4049e5" /><Relationship Type="http://schemas.openxmlformats.org/officeDocument/2006/relationships/theme" Target="/xl/theme/theme1.xml" Id="R3a49c5e9e35f4d03" /><Relationship Type="http://schemas.openxmlformats.org/officeDocument/2006/relationships/sharedStrings" Target="/xl/sharedStrings.xml" Id="R478acd8c783844da" /><Relationship Type="http://schemas.openxmlformats.org/officeDocument/2006/relationships/worksheet" Target="/xl/worksheets/sheet1.xml" Id="R7efec14f8ac847ee" /><Relationship Type="http://schemas.openxmlformats.org/officeDocument/2006/relationships/worksheet" Target="/xl/worksheets/sheet2.xml" Id="Rfe10f57054414625" /></Relationships>
</file>

<file path=xl/tables/table1.xml><?xml version="1.0" encoding="utf-8"?>
<x:table xmlns:x="http://schemas.openxmlformats.org/spreadsheetml/2006/main" id="1" name="CitacionesEstimes" displayName="CitacionesEstimes" ref="A10:O33" headerRowCount="1" totalsRowCount="0" totalsRowShown="0">
  <x:autoFilter ref="A10:O33"/>
  <x:tableColumns count="15">
    <x:tableColumn id="1" name="Plataforma"/>
    <x:tableColumn id="2" name="Tipo"/>
    <x:tableColumn id="3" name="Enlace / ficha"/>
    <x:tableColumn id="4" name="Nombre visible"/>
    <x:tableColumn id="5" name="Dirección visible"/>
    <x:tableColumn id="6" name="Teléfono visible"/>
    <x:tableColumn id="7" name="Web visible"/>
    <x:tableColumn id="8" name="Horario encontrado"/>
    <x:tableColumn id="9" name="Nivel de evidencia"/>
    <x:tableColumn id="10" name="Diagnóstico NAP"/>
    <x:tableColumn id="11" name="Horarios vs web"/>
    <x:tableColumn id="12" name="Prioridad"/>
    <x:tableColumn id="13" name="Acción recomendada"/>
    <x:tableColumn id="14" name="Seguimiento"/>
    <x:tableColumn id="15" name="Fecha consul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d5fc06f0664768" /></Relationships>
</file>

<file path=xl/worksheets/sheet1.xml><?xml version="1.0" encoding="utf-8"?>
<x:worksheet xmlns:x="http://schemas.openxmlformats.org/spreadsheetml/2006/main">
  <x:sheetPr>
    <x:tabColor rgb="FF163B55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27" hidden="0" customWidth="1"/>
    <x:col min="2" max="2" width="23" hidden="0" customWidth="1"/>
    <x:col min="3" max="3" width="49" hidden="0" customWidth="1"/>
    <x:col min="4" max="4" width="25" hidden="0" customWidth="1"/>
    <x:col min="5" max="5" width="41" hidden="0" customWidth="1"/>
    <x:col min="6" max="6" width="28" hidden="0" customWidth="1"/>
    <x:col min="7" max="7" width="36" hidden="0" customWidth="1"/>
    <x:col min="8" max="8" width="57" hidden="0" customWidth="1"/>
    <x:col min="9" max="9" width="33" hidden="0" customWidth="1"/>
    <x:col min="10" max="10" width="54" hidden="0" customWidth="1"/>
    <x:col min="11" max="11" width="22" hidden="0" customWidth="1"/>
    <x:col min="12" max="12" width="15" hidden="0" customWidth="1"/>
    <x:col min="13" max="13" width="74" hidden="0" customWidth="1"/>
    <x:col min="14" max="14" width="18" hidden="0" customWidth="1"/>
    <x:col min="15" max="15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Auditoría de citaciones — Estime's Café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4" t="str">
        <x:v>Consulta pública: 27 de octubre de 2026 | NAP proporcionado por el cliente; dirección y horarios tomados del sitio oficial.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A6" s="2" t="str">
        <x:v>Registros inventariados</x:v>
      </x:c>
      <x:c r="B6" s="8" t="n">
        <x:f>COUNTA(A11:A33)</x:f>
        <x:v>23</x:v>
      </x:c>
      <x:c r="C6" s="2"/>
      <x:c r="D6" s="2" t="str">
        <x:v>Horarios diferentes</x:v>
      </x:c>
      <x:c r="E6" s="8" t="n">
        <x:f>COUNTIFS(K11:K33,"Diferente")</x:f>
        <x:v>6</x:v>
      </x:c>
      <x:c r="F6" s="2"/>
      <x:c r="G6" s="2" t="str">
        <x:v>Pendientes de comprobar</x:v>
      </x:c>
      <x:c r="H6" s="8" t="n">
        <x:f>COUNTIFS(K11:K33,"No comprobado")</x:f>
        <x:v>10</x:v>
      </x:c>
      <x:c r="I6" s="2"/>
      <x:c r="J6" s="2" t="str">
        <x:v>Acciones en curso</x:v>
      </x:c>
      <x:c r="K6" s="8" t="n">
        <x:f>COUNTIFS(N11:N33,"En gestión")</x:f>
        <x:v>0</x:v>
      </x:c>
      <x:c r="L6" s="2"/>
      <x:c r="M6" s="2"/>
      <x:c r="N6" s="2"/>
      <x:c r="O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>
      <x:c r="A8" s="9" t="str">
        <x:v>Nota: 'Diferente' compara con el horario publicado en estimescafe.com, pendiente de confirmación con el negocio.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</x:row>
    <x:row r="10" ht="33" customHeight="1">
      <x:c r="A10" s="12" t="str">
        <x:v>Plataforma</x:v>
      </x:c>
      <x:c r="B10" s="12" t="str">
        <x:v>Tipo</x:v>
      </x:c>
      <x:c r="C10" s="12" t="str">
        <x:v>Enlace / ficha</x:v>
      </x:c>
      <x:c r="D10" s="12" t="str">
        <x:v>Nombre visible</x:v>
      </x:c>
      <x:c r="E10" s="12" t="str">
        <x:v>Dirección visible</x:v>
      </x:c>
      <x:c r="F10" s="12" t="str">
        <x:v>Teléfono visible</x:v>
      </x:c>
      <x:c r="G10" s="12" t="str">
        <x:v>Web visible</x:v>
      </x:c>
      <x:c r="H10" s="12" t="str">
        <x:v>Horario encontrado</x:v>
      </x:c>
      <x:c r="I10" s="12" t="str">
        <x:v>Nivel de evidencia</x:v>
      </x:c>
      <x:c r="J10" s="12" t="str">
        <x:v>Diagnóstico NAP</x:v>
      </x:c>
      <x:c r="K10" s="12" t="str">
        <x:v>Horarios vs web</x:v>
      </x:c>
      <x:c r="L10" s="12" t="str">
        <x:v>Prioridad</x:v>
      </x:c>
      <x:c r="M10" s="12" t="str">
        <x:v>Acción recomendada</x:v>
      </x:c>
      <x:c r="N10" s="12" t="str">
        <x:v>Seguimiento</x:v>
      </x:c>
      <x:c r="O10" s="12" t="str">
        <x:v>Fecha consulta</x:v>
      </x:c>
    </x:row>
    <x:row r="11" ht="37" customHeight="1">
      <x:c r="A11" s="2" t="str">
        <x:v>Sitio oficial (inicio)</x:v>
      </x:c>
      <x:c r="B11" s="2" t="str">
        <x:v>Web propia</x:v>
      </x:c>
      <x:c r="C11" s="13" t="str">
        <x:v>https://www.estimescafe.com/</x:v>
      </x:c>
      <x:c r="D11" s="2" t="str">
        <x:v>Estime's Café</x:v>
      </x:c>
      <x:c r="E11" s="2" t="str">
        <x:v>238 Inman Avenue, Colonia, NJ 07067</x:v>
      </x:c>
      <x:c r="F11" s="2" t="str">
        <x:v>(732) 669-7581</x:v>
      </x:c>
      <x:c r="G11" s="2" t="str">
        <x:v>https://www.estimescafe.com/</x:v>
      </x:c>
      <x:c r="H11" s="14" t="str">
        <x:v>Lun–sáb 8:00–15:00; dom 8:00–16:00</x:v>
      </x:c>
      <x:c r="I11" s="15" t="str">
        <x:v>Verificado en sitio</x:v>
      </x:c>
      <x:c r="J11" s="2" t="str">
        <x:v>Referencia: NAP abreviado visible</x:v>
      </x:c>
      <x:c r="K11" s="2" t="str">
        <x:v>Referencia</x:v>
      </x:c>
      <x:c r="L11" s="2" t="str">
        <x:v>—</x:v>
      </x:c>
      <x:c r="M11" s="14" t="str">
        <x:v>Mantener como fuente principal; confirmar horario con propietario.</x:v>
      </x:c>
      <x:c r="N11" s="16" t="str">
        <x:v>Referencia</x:v>
      </x:c>
      <x:c r="O11" s="17" t="str">
        <x:v>2026-10-27</x:v>
      </x:c>
    </x:row>
    <x:row r="12" ht="37" customHeight="1">
      <x:c r="A12" s="2" t="str">
        <x:v>Sitio oficial (/maps)</x:v>
      </x:c>
      <x:c r="B12" s="2" t="str">
        <x:v>Web propia</x:v>
      </x:c>
      <x:c r="C12" s="13" t="str">
        <x:v>https://www.estimescafe.com/maps</x:v>
      </x:c>
      <x:c r="D12" s="2" t="str">
        <x:v>Estime's Cafe</x:v>
      </x:c>
      <x:c r="E12" s="2" t="str">
        <x:v>238 Inman Ave Colonia N.J. 07067</x:v>
      </x:c>
      <x:c r="F12" s="2" t="str">
        <x:v>(732) 669-7581</x:v>
      </x:c>
      <x:c r="G12" s="2" t="str"/>
      <x:c r="H12" s="14" t="str">
        <x:v>Lun–vie 7:00–22:00; sáb 9:00–22:00; dom 20:00–23:00</x:v>
      </x:c>
      <x:c r="I12" s="15" t="str">
        <x:v>Verificado en sitio</x:v>
      </x:c>
      <x:c r="J12" s="2" t="str">
        <x:v>Dirección y teléfono coinciden</x:v>
      </x:c>
      <x:c r="K12" s="2" t="str">
        <x:v>Diferente</x:v>
      </x:c>
      <x:c r="L12" s="2" t="str">
        <x:v>Alta</x:v>
      </x:c>
      <x:c r="M12" s="14" t="str">
        <x:v>Actualizar o redirigir /maps; reemplazar horarios antiguos.</x:v>
      </x:c>
      <x:c r="N12" s="16" t="str">
        <x:v>Pendiente</x:v>
      </x:c>
      <x:c r="O12" s="17" t="str">
        <x:v>2026-10-27</x:v>
      </x:c>
    </x:row>
    <x:row r="13" ht="37" customHeight="1">
      <x:c r="A13" s="2" t="str">
        <x:v>Google Maps</x:v>
      </x:c>
      <x:c r="B13" s="2" t="str">
        <x:v>Mapa</x:v>
      </x:c>
      <x:c r="C13" s="13" t="str">
        <x:v>https://maps.app.goo.gl/DvqrZrWoMCUL7PF5A</x:v>
      </x:c>
      <x:c r="D13" s="2" t="str"/>
      <x:c r="E13" s="2" t="str"/>
      <x:c r="F13" s="2" t="str"/>
      <x:c r="G13" s="2" t="str"/>
      <x:c r="H13" s="14" t="str"/>
      <x:c r="I13" s="15" t="str">
        <x:v>Enlace del sitio; ficha no legible</x:v>
      </x:c>
      <x:c r="J13" s="2" t="str">
        <x:v>Sin comprobación directa</x:v>
      </x:c>
      <x:c r="K13" s="2" t="str">
        <x:v>No comprobado</x:v>
      </x:c>
      <x:c r="L13" s="2" t="str">
        <x:v>Alta</x:v>
      </x:c>
      <x:c r="M13" s="14" t="str">
        <x:v>Abrir ficha con acceso al perfil; comprobar nombre, teléfono, dirección, web y horarios.</x:v>
      </x:c>
      <x:c r="N13" s="16" t="str">
        <x:v>Pendiente</x:v>
      </x:c>
      <x:c r="O13" s="17" t="str">
        <x:v>2026-10-27</x:v>
      </x:c>
    </x:row>
    <x:row r="14" ht="37" customHeight="1">
      <x:c r="A14" s="2" t="str">
        <x:v>Chamber of Commerce</x:v>
      </x:c>
      <x:c r="B14" s="2" t="str">
        <x:v>Directorio</x:v>
      </x:c>
      <x:c r="C14" s="13" t="str">
        <x:v>https://www.chamberofcommerce.com/business-directory/new-jersey/colonia/cafe/2007541405-estime-s-cafe</x:v>
      </x:c>
      <x:c r="D14" s="2" t="str">
        <x:v>ESTIME'S CAFE</x:v>
      </x:c>
      <x:c r="E14" s="2" t="str">
        <x:v>238 Inman Ave, Colonia, NJ 07067</x:v>
      </x:c>
      <x:c r="F14" s="2" t="str">
        <x:v>732-669-7581</x:v>
      </x:c>
      <x:c r="G14" s="2" t="str">
        <x:v>http://www.estimescafe.com/</x:v>
      </x:c>
      <x:c r="H14" s="14" t="str">
        <x:v>Lun cerrado; mar–sáb 8:00–15:00; dom 8:00–15:00</x:v>
      </x:c>
      <x:c r="I14" s="15" t="str">
        <x:v>Ficha indexada</x:v>
      </x:c>
      <x:c r="J14" s="2" t="str">
        <x:v>Dirección, teléfono y dominio coinciden; nombre corto</x:v>
      </x:c>
      <x:c r="K14" s="2" t="str">
        <x:v>Diferente</x:v>
      </x:c>
      <x:c r="L14" s="2" t="str">
        <x:v>Alta</x:v>
      </x:c>
      <x:c r="M14" s="14" t="str">
        <x:v>Corregir lunes (aparece cerrado) y domingo (cierra 15:00, no 16:00).</x:v>
      </x:c>
      <x:c r="N14" s="16" t="str">
        <x:v>Pendiente</x:v>
      </x:c>
      <x:c r="O14" s="17" t="str">
        <x:v>2026-10-27</x:v>
      </x:c>
    </x:row>
    <x:row r="15" ht="37" customHeight="1">
      <x:c r="A15" s="2" t="str">
        <x:v>Superpages</x:v>
      </x:c>
      <x:c r="B15" s="2" t="str">
        <x:v>Directorio</x:v>
      </x:c>
      <x:c r="C15" s="13" t="str">
        <x:v>https://www.superpages.com/colonia-nj/bpp/estime-cafe-546233248</x:v>
      </x:c>
      <x:c r="D15" s="2" t="str">
        <x:v>Estime Cafe</x:v>
      </x:c>
      <x:c r="E15" s="2" t="str">
        <x:v>238 Inman Ave, Colonia, NJ 07067</x:v>
      </x:c>
      <x:c r="F15" s="2" t="str">
        <x:v>732-669-7581</x:v>
      </x:c>
      <x:c r="G15" s="2" t="str">
        <x:v>http://www.estimescafe.com</x:v>
      </x:c>
      <x:c r="H15" s="14" t="str">
        <x:v>Mar–jue 8:00–14:00; vie 18:00–22:00; sáb–dom 8:00–15:00</x:v>
      </x:c>
      <x:c r="I15" s="15" t="str">
        <x:v>Ficha indexada</x:v>
      </x:c>
      <x:c r="J15" s="2" t="str">
        <x:v>Dirección, teléfono y dominio coinciden; nombre simplificado</x:v>
      </x:c>
      <x:c r="K15" s="2" t="str">
        <x:v>Diferente</x:v>
      </x:c>
      <x:c r="L15" s="2" t="str">
        <x:v>Alta</x:v>
      </x:c>
      <x:c r="M15" s="14" t="str">
        <x:v>Actualizar horario completo, quitar servicio nocturno y revisar lunes.</x:v>
      </x:c>
      <x:c r="N15" s="16" t="str">
        <x:v>Pendiente</x:v>
      </x:c>
      <x:c r="O15" s="17" t="str">
        <x:v>2026-10-27</x:v>
      </x:c>
    </x:row>
    <x:row r="16" ht="37" customHeight="1">
      <x:c r="A16" s="2" t="str">
        <x:v>Yellow Pages</x:v>
      </x:c>
      <x:c r="B16" s="2" t="str">
        <x:v>Directorio</x:v>
      </x:c>
      <x:c r="C16" s="13" t="str">
        <x:v>https://www.yellowpages.com/colonia-nj/mip/estime-cafe-546233248</x:v>
      </x:c>
      <x:c r="D16" s="2" t="str">
        <x:v>Estime Cafe</x:v>
      </x:c>
      <x:c r="E16" s="2" t="str">
        <x:v>238 Inman Ave, Colonia, NJ 07067</x:v>
      </x:c>
      <x:c r="F16" s="2" t="str">
        <x:v>(732) 669-7581</x:v>
      </x:c>
      <x:c r="G16" s="2" t="str">
        <x:v>Web indicada (sin URL legible en índice)</x:v>
      </x:c>
      <x:c r="H16" s="14" t="str"/>
      <x:c r="I16" s="15" t="str">
        <x:v>Índice público; ficha redirige</x:v>
      </x:c>
      <x:c r="J16" s="2" t="str">
        <x:v>Dirección y teléfono coinciden; sitio por confirmar</x:v>
      </x:c>
      <x:c r="K16" s="2" t="str">
        <x:v>No comprobado</x:v>
      </x:c>
      <x:c r="L16" s="2" t="str">
        <x:v>Media</x:v>
      </x:c>
      <x:c r="M16" s="14" t="str">
        <x:v>Acceder a la ficha y revisar todos los campos; nombre corto es variante menor.</x:v>
      </x:c>
      <x:c r="N16" s="16" t="str">
        <x:v>Pendiente</x:v>
      </x:c>
      <x:c r="O16" s="17" t="str">
        <x:v>2026-10-27</x:v>
      </x:c>
    </x:row>
    <x:row r="17" ht="37" customHeight="1">
      <x:c r="A17" s="2" t="str">
        <x:v>Zmenu</x:v>
      </x:c>
      <x:c r="B17" s="2" t="str">
        <x:v>Menús</x:v>
      </x:c>
      <x:c r="C17" s="13" t="str">
        <x:v>https://www.zmenu.com/estimes-cafe-colonia-2-online-menu/</x:v>
      </x:c>
      <x:c r="D17" s="2" t="str">
        <x:v>Estime's Cafe</x:v>
      </x:c>
      <x:c r="E17" s="2" t="str">
        <x:v>238 Inman Ave, Colonia, NJ 07067</x:v>
      </x:c>
      <x:c r="F17" s="2" t="str">
        <x:v>732-669-7581</x:v>
      </x:c>
      <x:c r="G17" s="2" t="str"/>
      <x:c r="H17" s="14" t="str">
        <x:v>Lun–jue 8:00–15:00; vie/sáb 8:00–15:00 y 18:00–22:00; dom 8:00–15:00</x:v>
      </x:c>
      <x:c r="I17" s="15" t="str">
        <x:v>Ficha en resultados indexados</x:v>
      </x:c>
      <x:c r="J17" s="2" t="str">
        <x:v>Dirección y teléfono coinciden</x:v>
      </x:c>
      <x:c r="K17" s="2" t="str">
        <x:v>Diferente</x:v>
      </x:c>
      <x:c r="L17" s="2" t="str">
        <x:v>Alta</x:v>
      </x:c>
      <x:c r="M17" s="14" t="str">
        <x:v>Eliminar turnos nocturnos; corregir domingo a 16:00 y actualizar menú si procede.</x:v>
      </x:c>
      <x:c r="N17" s="16" t="str">
        <x:v>Pendiente</x:v>
      </x:c>
      <x:c r="O17" s="17" t="str">
        <x:v>2026-10-27</x:v>
      </x:c>
    </x:row>
    <x:row r="18" ht="37" customHeight="1">
      <x:c r="A18" s="2" t="str">
        <x:v>EatOkra</x:v>
      </x:c>
      <x:c r="B18" s="2" t="str">
        <x:v>Directorio gastronómico</x:v>
      </x:c>
      <x:c r="C18" s="13" t="str">
        <x:v>https://www.eatokra.com/businesses/estime-s-cafe</x:v>
      </x:c>
      <x:c r="D18" s="2" t="str">
        <x:v>Estime's Cafe</x:v>
      </x:c>
      <x:c r="E18" s="2" t="str">
        <x:v>238 Inman Ave, Colonia, NJ 07067</x:v>
      </x:c>
      <x:c r="F18" s="2" t="str">
        <x:v>+1 (732) 669-7581</x:v>
      </x:c>
      <x:c r="G18" s="2" t="str">
        <x:v>estimescafe.com/</x:v>
      </x:c>
      <x:c r="H18" s="14" t="str">
        <x:v>Dom y lun cerrado; mar–jue 8:00–15:00; vie/sáb 8:00–15:00 y 18:00–22:00</x:v>
      </x:c>
      <x:c r="I18" s="15" t="str">
        <x:v>Ficha indexada</x:v>
      </x:c>
      <x:c r="J18" s="2" t="str">
        <x:v>Dirección, teléfono y dominio coinciden</x:v>
      </x:c>
      <x:c r="K18" s="2" t="str">
        <x:v>Diferente</x:v>
      </x:c>
      <x:c r="L18" s="2" t="str">
        <x:v>Alta</x:v>
      </x:c>
      <x:c r="M18" s="14" t="str">
        <x:v>Cambiar domingo/lunes a abiertos; borrar horario nocturno del viernes y sábado.</x:v>
      </x:c>
      <x:c r="N18" s="16" t="str">
        <x:v>Pendiente</x:v>
      </x:c>
      <x:c r="O18" s="17" t="str">
        <x:v>2026-10-27</x:v>
      </x:c>
    </x:row>
    <x:row r="19" ht="37" customHeight="1">
      <x:c r="A19" s="2" t="str">
        <x:v>WhereYouEat</x:v>
      </x:c>
      <x:c r="B19" s="2" t="str">
        <x:v>Directorio gastronómico</x:v>
      </x:c>
      <x:c r="C19" s="13" t="str">
        <x:v>https://whereyoueat.com/estimes-cafe-35296.html</x:v>
      </x:c>
      <x:c r="D19" s="2" t="str">
        <x:v>Estime's Cafe</x:v>
      </x:c>
      <x:c r="E19" s="2" t="str">
        <x:v>238 Inman Ave, Colonia, NJ 07067</x:v>
      </x:c>
      <x:c r="F19" s="2" t="str">
        <x:v>732-669-7581</x:v>
      </x:c>
      <x:c r="G19" s="2" t="str"/>
      <x:c r="H19" s="14" t="str">
        <x:v>Lun–jue 8:00–15:00; vie/sáb 8:00–16:00; dom 8:00–16:00</x:v>
      </x:c>
      <x:c r="I19" s="15" t="str">
        <x:v>Ficha indexada</x:v>
      </x:c>
      <x:c r="J19" s="2" t="str">
        <x:v>Dirección y teléfono coinciden</x:v>
      </x:c>
      <x:c r="K19" s="2" t="str">
        <x:v>Diferente</x:v>
      </x:c>
      <x:c r="L19" s="2" t="str">
        <x:v>Media</x:v>
      </x:c>
      <x:c r="M19" s="14" t="str">
        <x:v>Cambiar cierre de viernes y sábado de 16:00 a 15:00.</x:v>
      </x:c>
      <x:c r="N19" s="16" t="str">
        <x:v>Pendiente</x:v>
      </x:c>
      <x:c r="O19" s="17" t="str">
        <x:v>2026-10-27</x:v>
      </x:c>
    </x:row>
    <x:row r="20" ht="37" customHeight="1">
      <x:c r="A20" s="2" t="str">
        <x:v>Restaurantji</x:v>
      </x:c>
      <x:c r="B20" s="2" t="str">
        <x:v>Directorio gastronómico</x:v>
      </x:c>
      <x:c r="C20" s="13" t="str">
        <x:v>https://www.restaurantji.com/nj/colonia/estime-cafe-/</x:v>
      </x:c>
      <x:c r="D20" s="2" t="str">
        <x:v>ESTIME'S CAFE</x:v>
      </x:c>
      <x:c r="E20" s="2" t="str">
        <x:v>238 Inman Ave, Colonia, NJ 07067</x:v>
      </x:c>
      <x:c r="F20" s="2" t="str">
        <x:v>(732) 669-7581</x:v>
      </x:c>
      <x:c r="G20" s="2" t="str">
        <x:v>Enlace Website visible</x:v>
      </x:c>
      <x:c r="H20" s="14" t="str">
        <x:v>Lun–sáb 8:00–15:00; dom 8:00–16:00</x:v>
      </x:c>
      <x:c r="I20" s="15" t="str">
        <x:v>Ficha indexada</x:v>
      </x:c>
      <x:c r="J20" s="2" t="str">
        <x:v>Dirección y teléfono coinciden; nombre corto</x:v>
      </x:c>
      <x:c r="K20" s="2" t="str">
        <x:v>Coincidente</x:v>
      </x:c>
      <x:c r="L20" s="2" t="str">
        <x:v>Baja</x:v>
      </x:c>
      <x:c r="M20" s="14" t="str">
        <x:v>Confirmar destino del enlace Website; no se detecta diferencia horaria.</x:v>
      </x:c>
      <x:c r="N20" s="16" t="str">
        <x:v>Pendiente</x:v>
      </x:c>
      <x:c r="O20" s="17" t="str">
        <x:v>2026-10-27</x:v>
      </x:c>
    </x:row>
    <x:row r="21" ht="37" customHeight="1">
      <x:c r="A21" s="2" t="str">
        <x:v>Tripadvisor</x:v>
      </x:c>
      <x:c r="B21" s="2" t="str">
        <x:v>Reseñas / restaurantes</x:v>
      </x:c>
      <x:c r="C21" s="13" t="str">
        <x:v>https://www.tripadvisor.com/Restaurant_Review-g46370-d18815885-Reviews-Estime_s_Cafe-Colonia_New_Jersey.html</x:v>
      </x:c>
      <x:c r="D21" s="2" t="str">
        <x:v>Estime's Cafe</x:v>
      </x:c>
      <x:c r="E21" s="2" t="str">
        <x:v>238 Inman Ave, Colonia, NJ 07067</x:v>
      </x:c>
      <x:c r="F21" s="2" t="str">
        <x:v>+1 732-669-7581</x:v>
      </x:c>
      <x:c r="G21" s="2" t="str">
        <x:v>Website visible</x:v>
      </x:c>
      <x:c r="H21" s="14" t="str">
        <x:v>Indica cierre a 15:00; días no comprobados</x:v>
      </x:c>
      <x:c r="I21" s="15" t="str">
        <x:v>Ficha indexada; acceso limitado</x:v>
      </x:c>
      <x:c r="J21" s="2" t="str">
        <x:v>Dirección y teléfono coinciden</x:v>
      </x:c>
      <x:c r="K21" s="2" t="str">
        <x:v>Revisar</x:v>
      </x:c>
      <x:c r="L21" s="2" t="str">
        <x:v>Media</x:v>
      </x:c>
      <x:c r="M21" s="14" t="str">
        <x:v>Comprobar horarios por día y descripción que menciona cena/late night.</x:v>
      </x:c>
      <x:c r="N21" s="16" t="str">
        <x:v>Pendiente</x:v>
      </x:c>
      <x:c r="O21" s="17" t="str">
        <x:v>2026-10-27</x:v>
      </x:c>
    </x:row>
    <x:row r="22" ht="37" customHeight="1">
      <x:c r="A22" s="2" t="str">
        <x:v>RestaurantJump</x:v>
      </x:c>
      <x:c r="B22" s="2" t="str">
        <x:v>Agregador</x:v>
      </x:c>
      <x:c r="C22" s="13" t="str">
        <x:v>https://restaurantjump.com/estimes-cafe-07067/</x:v>
      </x:c>
      <x:c r="D22" s="2" t="str">
        <x:v>Estime’s Cafe</x:v>
      </x:c>
      <x:c r="E22" s="2" t="str">
        <x:v>238 Inman Ave, Colonia, NJ 07067</x:v>
      </x:c>
      <x:c r="F22" s="2" t="str">
        <x:v>(732) 669-7581</x:v>
      </x:c>
      <x:c r="G22" s="2" t="str">
        <x:v>http://www.estimescafe.com/</x:v>
      </x:c>
      <x:c r="H22" s="14" t="str">
        <x:v>No visible; etiqueta 'Dinner'</x:v>
      </x:c>
      <x:c r="I22" s="15" t="str">
        <x:v>Ficha indexada</x:v>
      </x:c>
      <x:c r="J22" s="2" t="str">
        <x:v>Dirección, teléfono y dominio coinciden</x:v>
      </x:c>
      <x:c r="K22" s="2" t="str">
        <x:v>Revisar</x:v>
      </x:c>
      <x:c r="L22" s="2" t="str">
        <x:v>Baja</x:v>
      </x:c>
      <x:c r="M22" s="14" t="str">
        <x:v>Revisar etiquetas Dinner y menú; confirmar si la ficha permite edición.</x:v>
      </x:c>
      <x:c r="N22" s="16" t="str">
        <x:v>Pendiente</x:v>
      </x:c>
      <x:c r="O22" s="17" t="str">
        <x:v>2026-10-27</x:v>
      </x:c>
    </x:row>
    <x:row r="23" ht="37" customHeight="1">
      <x:c r="A23" s="2" t="str">
        <x:v>Uber Eats</x:v>
      </x:c>
      <x:c r="B23" s="2" t="str">
        <x:v>Pedidos</x:v>
      </x:c>
      <x:c r="C23" s="13" t="str">
        <x:v>https://www.ubereats.com/store/estimes-cafe/fMKdXenYXIOw8mZSI5FPuQ?diningMode=DELIVERY</x:v>
      </x:c>
      <x:c r="D23" s="2" t="str">
        <x:v>Estime's Cafe</x:v>
      </x:c>
      <x:c r="E23" s="2" t="str">
        <x:v>238 Inman Avenue, Colonia, NJ 07067</x:v>
      </x:c>
      <x:c r="F23" s="2" t="str"/>
      <x:c r="G23" s="2" t="str"/>
      <x:c r="H23" s="14" t="str">
        <x:v>Pedidos publicados: 8:00–14:15</x:v>
      </x:c>
      <x:c r="I23" s="15" t="str">
        <x:v>Ficha abierta; otros campos no visibles</x:v>
      </x:c>
      <x:c r="J23" s="2" t="str">
        <x:v>Dirección coincide; teléfono no visible</x:v>
      </x:c>
      <x:c r="K23" s="2" t="str">
        <x:v>No comparable</x:v>
      </x:c>
      <x:c r="L23" s="2" t="str">
        <x:v>Media</x:v>
      </x:c>
      <x:c r="M23" s="14" t="str">
        <x:v>Verificar teléfono y web dentro de Store info; horario mostrado es de pedidos.</x:v>
      </x:c>
      <x:c r="N23" s="16" t="str">
        <x:v>Pendiente</x:v>
      </x:c>
      <x:c r="O23" s="17" t="str">
        <x:v>2026-10-27</x:v>
      </x:c>
    </x:row>
    <x:row r="24" ht="37" customHeight="1">
      <x:c r="A24" s="2" t="str">
        <x:v>DoorDash</x:v>
      </x:c>
      <x:c r="B24" s="2" t="str">
        <x:v>Pedidos</x:v>
      </x:c>
      <x:c r="C24" s="13" t="str">
        <x:v>https://www.doordash.com/es/store/estimes-cafe-woodbridge-township-2835972/</x:v>
      </x:c>
      <x:c r="D24" s="2" t="str">
        <x:v>Estimes Cafe</x:v>
      </x:c>
      <x:c r="E24" s="2" t="str"/>
      <x:c r="F24" s="2" t="str"/>
      <x:c r="G24" s="2" t="str"/>
      <x:c r="H24" s="14" t="str">
        <x:v>Pedidos publicados: 8:00–13:55</x:v>
      </x:c>
      <x:c r="I24" s="15" t="str">
        <x:v>Ficha indexada; dirección no visible</x:v>
      </x:c>
      <x:c r="J24" s="2" t="str">
        <x:v>Variante del nombre sin apóstrofo; resto sin comprobar</x:v>
      </x:c>
      <x:c r="K24" s="2" t="str">
        <x:v>No comparable</x:v>
      </x:c>
      <x:c r="L24" s="2" t="str">
        <x:v>Media</x:v>
      </x:c>
      <x:c r="M24" s="14" t="str">
        <x:v>Corregir apóstrofo si lo permite; verificar NAP en la cuenta comercial.</x:v>
      </x:c>
      <x:c r="N24" s="16" t="str">
        <x:v>Pendiente</x:v>
      </x:c>
      <x:c r="O24" s="17" t="str">
        <x:v>2026-10-27</x:v>
      </x:c>
    </x:row>
    <x:row r="25" ht="37" customHeight="1">
      <x:c r="A25" s="2" t="str">
        <x:v>Grubhub</x:v>
      </x:c>
      <x:c r="B25" s="2" t="str">
        <x:v>Pedidos</x:v>
      </x:c>
      <x:c r="C25" s="13" t="str">
        <x:v>https://www.grubhub.com/restaurant/estimes-cafe-238-inman-ave-colonia/6353128</x:v>
      </x:c>
      <x:c r="D25" s="2" t="str">
        <x:v>Estime's Cafe</x:v>
      </x:c>
      <x:c r="E25" s="2" t="str">
        <x:v>238 Inman Ave, Colonia (URL)</x:v>
      </x:c>
      <x:c r="F25" s="2" t="str"/>
      <x:c r="G25" s="2" t="str"/>
      <x:c r="H25" s="14" t="str"/>
      <x:c r="I25" s="15" t="str">
        <x:v>URL indexada; detalle bloqueado</x:v>
      </x:c>
      <x:c r="J25" s="2" t="str">
        <x:v>Dirección inferida de URL; no verificación completa</x:v>
      </x:c>
      <x:c r="K25" s="2" t="str">
        <x:v>No comprobado</x:v>
      </x:c>
      <x:c r="L25" s="2" t="str">
        <x:v>Media</x:v>
      </x:c>
      <x:c r="M25" s="14" t="str">
        <x:v>Abrir desde cuenta o app y validar ficha, teléfono, sitio y horario.</x:v>
      </x:c>
      <x:c r="N25" s="16" t="str">
        <x:v>Pendiente</x:v>
      </x:c>
      <x:c r="O25" s="17" t="str">
        <x:v>2026-10-27</x:v>
      </x:c>
    </x:row>
    <x:row r="26" ht="37" customHeight="1">
      <x:c r="A26" s="2" t="str">
        <x:v>Facebook</x:v>
      </x:c>
      <x:c r="B26" s="2" t="str">
        <x:v>Red social</x:v>
      </x:c>
      <x:c r="C26" s="13" t="str">
        <x:v>https://www.facebook.com/estimescafe/</x:v>
      </x:c>
      <x:c r="D26" s="2" t="str">
        <x:v>Estime’s Cafe</x:v>
      </x:c>
      <x:c r="E26" s="2" t="str">
        <x:v>238 Inman Avenue, Colonia, NJ 07067 (snippet)</x:v>
      </x:c>
      <x:c r="F26" s="2" t="str">
        <x:v>(732) 669-7581 (snippet)</x:v>
      </x:c>
      <x:c r="G26" s="2" t="str">
        <x:v>estimescafe.com (snippet)</x:v>
      </x:c>
      <x:c r="H26" s="14" t="str"/>
      <x:c r="I26" s="15" t="str">
        <x:v>Datos en snippet; acceso bloqueado</x:v>
      </x:c>
      <x:c r="J26" s="2" t="str">
        <x:v>Datos coinciden según snippet indirecto</x:v>
      </x:c>
      <x:c r="K26" s="2" t="str">
        <x:v>No comprobado</x:v>
      </x:c>
      <x:c r="L26" s="2" t="str">
        <x:v>Media</x:v>
      </x:c>
      <x:c r="M26" s="14" t="str">
        <x:v>Revisar la información de la página desde Meta Business Suite y confirmar horarios.</x:v>
      </x:c>
      <x:c r="N26" s="16" t="str">
        <x:v>Pendiente</x:v>
      </x:c>
      <x:c r="O26" s="17" t="str">
        <x:v>2026-10-27</x:v>
      </x:c>
    </x:row>
    <x:row r="27" ht="37" customHeight="1">
      <x:c r="A27" s="2" t="str">
        <x:v>Joe Coffee</x:v>
      </x:c>
      <x:c r="B27" s="2" t="str">
        <x:v>Directorio cafeterías</x:v>
      </x:c>
      <x:c r="C27" s="13" t="str">
        <x:v>https://joe.coffee/locations/nj/woodbridge-township/estimes-cafe-woodbridge-township/</x:v>
      </x:c>
      <x:c r="D27" s="2" t="str">
        <x:v>Estime's Cafe</x:v>
      </x:c>
      <x:c r="E27" s="2" t="str">
        <x:v>238 Inman Ave, Colonia, NJ 07067</x:v>
      </x:c>
      <x:c r="F27" s="2" t="str"/>
      <x:c r="G27" s="2" t="str"/>
      <x:c r="H27" s="14" t="str"/>
      <x:c r="I27" s="15" t="str">
        <x:v>Solo snippet; web con acceso restringido</x:v>
      </x:c>
      <x:c r="J27" s="2" t="str">
        <x:v>Dirección coincide; resto no comprobado</x:v>
      </x:c>
      <x:c r="K27" s="2" t="str">
        <x:v>No comprobado</x:v>
      </x:c>
      <x:c r="L27" s="2" t="str">
        <x:v>Baja</x:v>
      </x:c>
      <x:c r="M27" s="14" t="str">
        <x:v>Verificar teléfono y web; solicitar corrección si hay discrepancia.</x:v>
      </x:c>
      <x:c r="N27" s="16" t="str">
        <x:v>Pendiente</x:v>
      </x:c>
      <x:c r="O27" s="17" t="str">
        <x:v>2026-10-27</x:v>
      </x:c>
    </x:row>
    <x:row r="28" ht="37" customHeight="1">
      <x:c r="A28" s="2" t="str">
        <x:v>Wheree</x:v>
      </x:c>
      <x:c r="B28" s="2" t="str">
        <x:v>Agregador</x:v>
      </x:c>
      <x:c r="C28" s="13" t="str">
        <x:v>https://estimes-cafe.wheree.com/</x:v>
      </x:c>
      <x:c r="D28" s="2" t="str">
        <x:v>ESTIME'S CAFE</x:v>
      </x:c>
      <x:c r="E28" s="2" t="str">
        <x:v>238 Inman Ave, Colonia (índice)</x:v>
      </x:c>
      <x:c r="F28" s="2" t="str">
        <x:v>+173-266-97581 (formato extraño)</x:v>
      </x:c>
      <x:c r="G28" s="2" t="str"/>
      <x:c r="H28" s="14" t="str">
        <x:v>Cierre a 15:00 indicado; sin detalle semanal</x:v>
      </x:c>
      <x:c r="I28" s="15" t="str">
        <x:v>Snippet indexado</x:v>
      </x:c>
      <x:c r="J28" s="2" t="str">
        <x:v>Teléfono parece contener mismos dígitos, formato incorrecto</x:v>
      </x:c>
      <x:c r="K28" s="2" t="str">
        <x:v>Revisar</x:v>
      </x:c>
      <x:c r="L28" s="2" t="str">
        <x:v>Baja</x:v>
      </x:c>
      <x:c r="M28" s="14" t="str">
        <x:v>Validar teléfono y horarios en la ficha antes de solicitar cambios.</x:v>
      </x:c>
      <x:c r="N28" s="16" t="str">
        <x:v>Pendiente</x:v>
      </x:c>
      <x:c r="O28" s="17" t="str">
        <x:v>2026-10-27</x:v>
      </x:c>
    </x:row>
    <x:row r="29" ht="37" customHeight="1">
      <x:c r="A29" s="2" t="str">
        <x:v>Apple Maps</x:v>
      </x:c>
      <x:c r="B29" s="2" t="str">
        <x:v>Mapa</x:v>
      </x:c>
      <x:c r="C29" s="13" t="str">
        <x:v>https://maps.apple.com/</x:v>
      </x:c>
      <x:c r="D29" s="2" t="str"/>
      <x:c r="E29" s="2" t="str"/>
      <x:c r="F29" s="2" t="str"/>
      <x:c r="G29" s="2" t="str"/>
      <x:c r="H29" s="14" t="str"/>
      <x:c r="I29" s="15" t="str">
        <x:v>No se localizó ficha verificable</x:v>
      </x:c>
      <x:c r="J29" s="2" t="str">
        <x:v>Pendiente de inspección manual</x:v>
      </x:c>
      <x:c r="K29" s="2" t="str">
        <x:v>No comprobado</x:v>
      </x:c>
      <x:c r="L29" s="2" t="str">
        <x:v>Alta</x:v>
      </x:c>
      <x:c r="M29" s="14" t="str">
        <x:v>Buscar Estime's Cafe en Apple Business Connect y validar ficha completa.</x:v>
      </x:c>
      <x:c r="N29" s="16" t="str">
        <x:v>Pendiente</x:v>
      </x:c>
      <x:c r="O29" s="17" t="str">
        <x:v>2026-10-27</x:v>
      </x:c>
    </x:row>
    <x:row r="30" ht="37" customHeight="1">
      <x:c r="A30" s="2" t="str">
        <x:v>Bing Places</x:v>
      </x:c>
      <x:c r="B30" s="2" t="str">
        <x:v>Mapa</x:v>
      </x:c>
      <x:c r="C30" s="13" t="str">
        <x:v>https://www.bing.com/maps</x:v>
      </x:c>
      <x:c r="D30" s="2" t="str"/>
      <x:c r="E30" s="2" t="str"/>
      <x:c r="F30" s="2" t="str"/>
      <x:c r="G30" s="2" t="str"/>
      <x:c r="H30" s="14" t="str"/>
      <x:c r="I30" s="15" t="str">
        <x:v>No se localizó ficha verificable</x:v>
      </x:c>
      <x:c r="J30" s="2" t="str">
        <x:v>Pendiente de inspección manual</x:v>
      </x:c>
      <x:c r="K30" s="2" t="str">
        <x:v>No comprobado</x:v>
      </x:c>
      <x:c r="L30" s="2" t="str">
        <x:v>Alta</x:v>
      </x:c>
      <x:c r="M30" s="14" t="str">
        <x:v>Buscar en Bing Places for Business y validar NAP/horarios.</x:v>
      </x:c>
      <x:c r="N30" s="16" t="str">
        <x:v>Pendiente</x:v>
      </x:c>
      <x:c r="O30" s="17" t="str">
        <x:v>2026-10-27</x:v>
      </x:c>
    </x:row>
    <x:row r="31" ht="37" customHeight="1">
      <x:c r="A31" s="2" t="str">
        <x:v>Yelp</x:v>
      </x:c>
      <x:c r="B31" s="2" t="str">
        <x:v>Reseñas / directorio</x:v>
      </x:c>
      <x:c r="C31" s="13" t="str">
        <x:v>https://www.yelp.com/</x:v>
      </x:c>
      <x:c r="D31" s="2" t="str"/>
      <x:c r="E31" s="2" t="str"/>
      <x:c r="F31" s="2" t="str"/>
      <x:c r="G31" s="2" t="str"/>
      <x:c r="H31" s="14" t="str"/>
      <x:c r="I31" s="15" t="str">
        <x:v>Acceso restringido; sin ficha confirmada</x:v>
      </x:c>
      <x:c r="J31" s="2" t="str">
        <x:v>Pendiente de inspección manual</x:v>
      </x:c>
      <x:c r="K31" s="2" t="str">
        <x:v>No comprobado</x:v>
      </x:c>
      <x:c r="L31" s="2" t="str">
        <x:v>Media</x:v>
      </x:c>
      <x:c r="M31" s="14" t="str">
        <x:v>Buscar por dirección y nombre en Yelp; no crear ficha sin descartar duplicados.</x:v>
      </x:c>
      <x:c r="N31" s="16" t="str">
        <x:v>Pendiente</x:v>
      </x:c>
      <x:c r="O31" s="17" t="str">
        <x:v>2026-10-27</x:v>
      </x:c>
    </x:row>
    <x:row r="32" ht="37" customHeight="1">
      <x:c r="A32" s="2" t="str">
        <x:v>MapQuest</x:v>
      </x:c>
      <x:c r="B32" s="2" t="str">
        <x:v>Mapa</x:v>
      </x:c>
      <x:c r="C32" s="13" t="str">
        <x:v>https://www.mapquest.com/</x:v>
      </x:c>
      <x:c r="D32" s="2" t="str"/>
      <x:c r="E32" s="2" t="str"/>
      <x:c r="F32" s="2" t="str"/>
      <x:c r="G32" s="2" t="str"/>
      <x:c r="H32" s="14" t="str"/>
      <x:c r="I32" s="15" t="str">
        <x:v>Acceso restringido; sin ficha confirmada</x:v>
      </x:c>
      <x:c r="J32" s="2" t="str">
        <x:v>Pendiente de inspección manual</x:v>
      </x:c>
      <x:c r="K32" s="2" t="str">
        <x:v>No comprobado</x:v>
      </x:c>
      <x:c r="L32" s="2" t="str">
        <x:v>Media</x:v>
      </x:c>
      <x:c r="M32" s="14" t="str">
        <x:v>Buscar la ficha; si existe, solicitar cambios en el panel de MapQuest.</x:v>
      </x:c>
      <x:c r="N32" s="16" t="str">
        <x:v>Pendiente</x:v>
      </x:c>
      <x:c r="O32" s="17" t="str">
        <x:v>2026-10-27</x:v>
      </x:c>
    </x:row>
    <x:row r="33" ht="37" customHeight="1">
      <x:c r="A33" s="2" t="str">
        <x:v>Foursquare</x:v>
      </x:c>
      <x:c r="B33" s="2" t="str">
        <x:v>Directorio local</x:v>
      </x:c>
      <x:c r="C33" s="13" t="str">
        <x:v>https://foursquare.com/</x:v>
      </x:c>
      <x:c r="D33" s="2" t="str"/>
      <x:c r="E33" s="2" t="str"/>
      <x:c r="F33" s="2" t="str"/>
      <x:c r="G33" s="2" t="str"/>
      <x:c r="H33" s="14" t="str"/>
      <x:c r="I33" s="15" t="str">
        <x:v>Sin ficha confirmada en revisión web</x:v>
      </x:c>
      <x:c r="J33" s="2" t="str">
        <x:v>Pendiente de inspección manual</x:v>
      </x:c>
      <x:c r="K33" s="2" t="str">
        <x:v>No comprobado</x:v>
      </x:c>
      <x:c r="L33" s="2" t="str">
        <x:v>Baja</x:v>
      </x:c>
      <x:c r="M33" s="14" t="str">
        <x:v>Buscar por nombre y dirección; revisar antes de crear o editar.</x:v>
      </x:c>
      <x:c r="N33" s="16" t="str">
        <x:v>Pendiente</x:v>
      </x:c>
      <x:c r="O33" s="17" t="str">
        <x:v>2026-10-27</x:v>
      </x:c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</x:sheetData>
  <x:conditionalFormatting sqref="K11:K33">
    <x:cfRule type="containsText" dxfId="0" priority="1" operator="containsText" text="Diferente"/>
    <x:cfRule type="containsText" dxfId="1" priority="2" operator="containsText" text="No comprobado"/>
  </x:conditionalFormatting>
  <x:conditionalFormatting sqref="L11:L33">
    <x:cfRule type="containsText" dxfId="2" priority="3" operator="containsText" text="Alta"/>
  </x:conditionalFormatting>
  <x:dataValidations count="1">
    <x:dataValidation type="list" sqref="N11:N33">
      <x:formula1>"Pendiente,En gestión,Corregido,No aplica,Referencia"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d5fc06f0664768"/>
  </x:tableParts>
</x:worksheet>
</file>

<file path=xl/worksheets/sheet2.xml><?xml version="1.0" encoding="utf-8"?>
<x:worksheet xmlns:x="http://schemas.openxmlformats.org/spreadsheetml/2006/main">
  <x:sheetPr>
    <x:tabColor rgb="FF7794A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12" hidden="0" customWidth="1"/>
    <x:col min="3" max="3" width="16" hidden="0" customWidth="1"/>
  </x:cols>
  <x:sheetData>
    <x:row r="1">
      <x:c r="A1" s="18"/>
      <x:c r="B1" s="18"/>
      <x:c r="C1" s="18"/>
      <x:c r="D1" s="18"/>
      <x:c r="E1" s="18"/>
      <x:c r="F1" s="18"/>
    </x:row>
    <x:row r="2">
      <x:c r="A2" s="19" t="str">
        <x:v>NAP de referencia y reglas de revisión</x:v>
      </x:c>
      <x:c r="B2" s="18"/>
      <x:c r="C2" s="18"/>
      <x:c r="D2" s="18"/>
      <x:c r="E2" s="18"/>
      <x:c r="F2" s="18"/>
    </x:row>
    <x:row r="3">
      <x:c r="A3" s="18"/>
      <x:c r="B3" s="18"/>
      <x:c r="C3" s="18"/>
      <x:c r="D3" s="18"/>
      <x:c r="E3" s="18"/>
      <x:c r="F3" s="18"/>
    </x:row>
    <x:row r="4" ht="30" customHeight="1">
      <x:c r="A4" s="11" t="str">
        <x:v>Campo</x:v>
      </x:c>
      <x:c r="B4" s="11" t="str">
        <x:v>Valor objetivo</x:v>
      </x:c>
      <x:c r="C4" s="18"/>
      <x:c r="D4" s="18"/>
      <x:c r="E4" s="18"/>
      <x:c r="F4" s="18"/>
    </x:row>
    <x:row r="5" ht="29" customHeight="1">
      <x:c r="A5" s="25" t="str">
        <x:v>Nombre suministrado</x:v>
      </x:c>
      <x:c r="B5" s="26" t="str">
        <x:v>Estime's Café | Breakfast, Brunch &amp; Lunch</x:v>
      </x:c>
      <x:c r="C5" s="18"/>
      <x:c r="D5" s="18"/>
      <x:c r="E5" s="18"/>
      <x:c r="F5" s="18"/>
    </x:row>
    <x:row r="6" ht="29" customHeight="1">
      <x:c r="A6" s="25" t="str">
        <x:v>Dirección publicada</x:v>
      </x:c>
      <x:c r="B6" s="26" t="str">
        <x:v>238 Inman Avenue, Colonia, NJ 07067</x:v>
      </x:c>
      <x:c r="C6" s="18"/>
      <x:c r="D6" s="18"/>
      <x:c r="E6" s="18"/>
      <x:c r="F6" s="18"/>
    </x:row>
    <x:row r="7" ht="29" customHeight="1">
      <x:c r="A7" s="25" t="str">
        <x:v>Teléfono</x:v>
      </x:c>
      <x:c r="B7" s="26" t="str">
        <x:v>(732) 669-7581</x:v>
      </x:c>
      <x:c r="C7" s="18"/>
      <x:c r="D7" s="18"/>
      <x:c r="E7" s="18"/>
      <x:c r="F7" s="18"/>
    </x:row>
    <x:row r="8" ht="29" customHeight="1">
      <x:c r="A8" s="25" t="str">
        <x:v>Sitio web</x:v>
      </x:c>
      <x:c r="B8" s="26" t="str">
        <x:v>https://www.estimescafe.com</x:v>
      </x:c>
      <x:c r="C8" s="18"/>
      <x:c r="D8" s="18"/>
      <x:c r="E8" s="18"/>
      <x:c r="F8" s="18"/>
    </x:row>
    <x:row r="9" ht="29" customHeight="1">
      <x:c r="A9" s="25" t="str">
        <x:v>Horario de referencia</x:v>
      </x:c>
      <x:c r="B9" s="26" t="str">
        <x:v>Lun–sáb 8:00–15:00; dom 8:00–16:00 (según sitio, pendiente de confirmación)</x:v>
      </x:c>
      <x:c r="C9" s="18"/>
      <x:c r="D9" s="18"/>
      <x:c r="E9" s="18"/>
      <x:c r="F9" s="18"/>
    </x:row>
    <x:row r="10" ht="29" customHeight="1">
      <x:c r="A10" s="27"/>
      <x:c r="B10" s="27"/>
      <x:c r="C10" s="18"/>
      <x:c r="D10" s="18"/>
      <x:c r="E10" s="18"/>
      <x:c r="F10" s="18"/>
    </x:row>
    <x:row r="11" ht="29" customHeight="1">
      <x:c r="A11" s="28" t="str">
        <x:v>Reglas para interpretar la auditoría</x:v>
      </x:c>
      <x:c r="B11" s="27"/>
      <x:c r="C11" s="18"/>
      <x:c r="D11" s="18"/>
      <x:c r="E11" s="18"/>
      <x:c r="F11" s="18"/>
    </x:row>
    <x:row r="12" ht="29" customHeight="1">
      <x:c r="A12" s="27" t="str">
        <x:v>Nombre abreviado</x:v>
      </x:c>
      <x:c r="B12" s="27" t="str">
        <x:v>El nombre sin descriptor, sin acento o sin apóstrofo no demuestra por sí solo un error grave de citación.</x:v>
      </x:c>
      <x:c r="C12" s="18"/>
      <x:c r="D12" s="18"/>
      <x:c r="E12" s="18"/>
      <x:c r="F12" s="18"/>
    </x:row>
    <x:row r="13" ht="29" customHeight="1">
      <x:c r="A13" s="27" t="str">
        <x:v>Nombre en Google</x:v>
      </x:c>
      <x:c r="B13" s="27" t="str">
        <x:v>Antes de añadir Breakfast, Brunch &amp; Lunch al nombre de una ficha, confirmar que es el nombre real utilizado públicamente; evitar descriptores promocionales.</x:v>
      </x:c>
      <x:c r="C13" s="18"/>
      <x:c r="D13" s="18"/>
      <x:c r="E13" s="18"/>
      <x:c r="F13" s="18"/>
    </x:row>
    <x:row r="14" ht="29" customHeight="1">
      <x:c r="A14" s="27" t="str">
        <x:v>Dirección</x:v>
      </x:c>
      <x:c r="B14" s="27" t="str">
        <x:v>Inman Ave e Inman Avenue son la misma dirección; no se contabilizan como diferencias.</x:v>
      </x:c>
      <x:c r="C14" s="18"/>
      <x:c r="D14" s="18"/>
      <x:c r="E14" s="18"/>
      <x:c r="F14" s="18"/>
    </x:row>
    <x:row r="15" ht="29" customHeight="1">
      <x:c r="A15" s="27" t="str">
        <x:v>Dominio</x:v>
      </x:c>
      <x:c r="B15" s="27" t="str">
        <x:v>http/https y www/no-www pueden ser variantes equivalentes si redirigen al sitio correcto.</x:v>
      </x:c>
      <x:c r="C15" s="18"/>
      <x:c r="D15" s="18"/>
      <x:c r="E15" s="18"/>
      <x:c r="F15" s="18"/>
    </x:row>
    <x:row r="16" ht="29" customHeight="1">
      <x:c r="A16" s="27" t="str">
        <x:v>Horarios de pedidos</x:v>
      </x:c>
      <x:c r="B16" s="27" t="str">
        <x:v>DoorDash y Uber Eats muestran ventanas para pedidos; no deben compararse automáticamente con los horarios del local.</x:v>
      </x:c>
      <x:c r="C16" s="18"/>
      <x:c r="D16" s="18"/>
      <x:c r="E16" s="18"/>
      <x:c r="F16" s="18"/>
    </x:row>
    <x:row r="17" ht="29" customHeight="1">
      <x:c r="A17" s="27" t="str">
        <x:v>Sin comprobar</x:v>
      </x:c>
      <x:c r="B17" s="27" t="str">
        <x:v>No implica que la ficha no exista. Requiere acceso humano o una comprobación directa en la plataforma.</x:v>
      </x:c>
      <x:c r="C17" s="18"/>
      <x:c r="D17" s="18"/>
      <x:c r="E17" s="18"/>
      <x:c r="F17" s="18"/>
    </x:row>
    <x:row r="18" ht="29" customHeight="1">
      <x:c r="A18" s="27"/>
      <x:c r="B18" s="27"/>
      <x:c r="C18" s="18"/>
      <x:c r="D18" s="18"/>
      <x:c r="E18" s="18"/>
      <x:c r="F18" s="18"/>
    </x:row>
    <x:row r="19" ht="29" customHeight="1">
      <x:c r="A19" s="28" t="str">
        <x:v>Origen de los datos</x:v>
      </x:c>
      <x:c r="B19" s="27"/>
      <x:c r="C19" s="18"/>
      <x:c r="D19" s="18"/>
      <x:c r="E19" s="18"/>
      <x:c r="F19" s="18"/>
    </x:row>
    <x:row r="20" ht="29" customHeight="1">
      <x:c r="A20" s="27" t="str">
        <x:v>NAP dado por el cliente</x:v>
      </x:c>
      <x:c r="B20" s="27" t="str">
        <x:v>Nombre, teléfono y dominio en el mensaje del 27/10/2026.</x:v>
      </x:c>
      <x:c r="C20" s="18"/>
      <x:c r="D20" s="18"/>
      <x:c r="E20" s="18"/>
      <x:c r="F20" s="18"/>
    </x:row>
    <x:row r="21" ht="29" customHeight="1">
      <x:c r="A21" s="27" t="str">
        <x:v>Dirección y horarios</x:v>
      </x:c>
      <x:c r="B21" s="27" t="str">
        <x:v>https://www.estimescafe.com/ (consulta 27/10/2026).</x:v>
      </x:c>
      <x:c r="C21" s="18"/>
      <x:c r="D21" s="18"/>
      <x:c r="E21" s="18"/>
      <x:c r="F21" s="18"/>
    </x:row>
    <x:row r="22" ht="29" customHeight="1">
      <x:c r="A22" s="27" t="str">
        <x:v>Detalles de terceros</x:v>
      </x:c>
      <x:c r="B22" s="27" t="str">
        <x:v>URLs y observaciones registrados individualmente en Auditoría.</x:v>
      </x:c>
      <x:c r="C22" s="18"/>
      <x:c r="D22" s="18"/>
      <x:c r="E22" s="18"/>
      <x:c r="F22" s="18"/>
    </x:row>
    <x:row r="23" ht="29" customHeight="1">
      <x:c r="A23" s="27" t="str">
        <x:v>Límite</x:v>
      </x:c>
      <x:c r="B23" s="27" t="str">
        <x:v>Revisión de fuentes públicas, no auditoría cerrada de perfiles privados; no confirma propiedad ni gestión de fichas.</x:v>
      </x:c>
      <x:c r="C23" s="18"/>
      <x:c r="D23" s="18"/>
      <x:c r="E23" s="18"/>
      <x:c r="F23" s="18"/>
    </x:row>
    <x:row r="24">
      <x:c r="A24" s="18"/>
      <x:c r="B24" s="18"/>
      <x:c r="C24" s="18"/>
      <x:c r="D24" s="18"/>
      <x:c r="E24" s="18"/>
      <x:c r="F24" s="18"/>
    </x:row>
    <x:row r="25">
      <x:c r="A25" s="18"/>
      <x:c r="B25" s="18"/>
      <x:c r="C25" s="18"/>
      <x:c r="D25" s="18"/>
      <x:c r="E25" s="18"/>
      <x:c r="F25" s="18"/>
    </x:row>
  </x:sheetData>
  <x:pageMargins left="0.7" right="0.7" top="0.75" bottom="0.75" header="0.3" footer="0.3"/>
</x:worksheet>
</file>